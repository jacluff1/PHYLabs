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135" windowWidth="22995" windowHeight="10485"/>
  </bookViews>
  <sheets>
    <sheet name="Sheet1" sheetId="1" r:id="rId1"/>
    <sheet name="ANOVA" sheetId="2" r:id="rId2"/>
  </sheets>
  <definedNames>
    <definedName name="Const_a">Sheet1!$G$2</definedName>
    <definedName name="Const_b">Sheet1!$G$3</definedName>
    <definedName name="Const_c">Sheet1!$G$4</definedName>
    <definedName name="Const_d">Sheet1!$G$5</definedName>
    <definedName name="Const_e">Sheet1!$G$6</definedName>
    <definedName name="Const_f">Sheet1!$G$7</definedName>
    <definedName name="Const_g">Sheet1!$G$8</definedName>
    <definedName name="Const_h">Sheet1!$G$9</definedName>
    <definedName name="Constants">Sheet1!$G$2:$G$9</definedName>
    <definedName name="solver_adj" localSheetId="0" hidden="1">Sheet1!$G$2:$G$3</definedName>
    <definedName name="solver_cvg" localSheetId="0" hidden="1">0.00000001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Sheet1!$G$11</definedName>
    <definedName name="solver_pre" localSheetId="0" hidden="1">0.0000000001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0.000005</definedName>
    <definedName name="solver_typ" localSheetId="0" hidden="1">2</definedName>
    <definedName name="solver_val" localSheetId="0" hidden="1">0</definedName>
    <definedName name="solver_ver" localSheetId="0" hidden="1">3</definedName>
    <definedName name="xValues">OFFSET(Sheet1!$A$2,0,0,COUNT(Sheet1!$A$1:$A$65551),1)</definedName>
    <definedName name="yDelta">OFFSET(xValues,0,3)</definedName>
    <definedName name="yhat">OFFSET(xValues,0,2)</definedName>
    <definedName name="yValues">OFFSET(xValues,0,1)</definedName>
  </definedNames>
  <calcPr calcId="144525"/>
</workbook>
</file>

<file path=xl/calcChain.xml><?xml version="1.0" encoding="utf-8"?>
<calcChain xmlns="http://schemas.openxmlformats.org/spreadsheetml/2006/main">
  <c r="C11" i="1" l="1"/>
  <c r="C10" i="1"/>
  <c r="C9" i="1"/>
  <c r="C8" i="1"/>
  <c r="C7" i="1"/>
  <c r="C6" i="1"/>
  <c r="C5" i="1"/>
  <c r="C4" i="1"/>
  <c r="C3" i="1"/>
  <c r="C2" i="1"/>
  <c r="D10" i="1" l="1"/>
  <c r="D11" i="1"/>
  <c r="B2" i="2" l="1"/>
  <c r="D8" i="1" l="1"/>
  <c r="D2" i="1"/>
  <c r="D6" i="1"/>
  <c r="D7" i="1"/>
  <c r="D5" i="1"/>
  <c r="D3" i="1"/>
  <c r="B3" i="2"/>
  <c r="C4" i="2" a="1"/>
  <c r="C4" i="2" s="1"/>
  <c r="B4" i="2"/>
  <c r="D9" i="1"/>
  <c r="D4" i="1"/>
  <c r="C2" i="2" l="1" a="1"/>
  <c r="C2" i="2" s="1"/>
  <c r="D2" i="2" s="1"/>
  <c r="G11" i="1"/>
  <c r="C3" i="2" l="1"/>
  <c r="D3" i="2" s="1"/>
  <c r="E2" i="2" l="1"/>
  <c r="F2" i="2" s="1"/>
</calcChain>
</file>

<file path=xl/comments1.xml><?xml version="1.0" encoding="utf-8"?>
<comments xmlns="http://schemas.openxmlformats.org/spreadsheetml/2006/main">
  <authors>
    <author>Jan Karel Pieterse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Place your x values here.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your measurements here.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Insert the formula you wish to compute the constants for in these cells.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This column computes the squared differences for y.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3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4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Put initial values in these cells so Solver knows where to start.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Jan Karel Pieterse:</t>
        </r>
        <r>
          <rPr>
            <sz val="8"/>
            <color indexed="81"/>
            <rFont val="Tahoma"/>
            <family val="2"/>
          </rPr>
          <t xml:space="preserve">
This cell contains the Sum Of Squares, which has to be minimised by using Tools, Solver.</t>
        </r>
      </text>
    </comment>
  </commentList>
</comments>
</file>

<file path=xl/comments2.xml><?xml version="1.0" encoding="utf-8"?>
<comments xmlns="http://schemas.openxmlformats.org/spreadsheetml/2006/main">
  <authors>
    <author>Jan Karel Pieterse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Jan Karel Pieterse:</t>
        </r>
        <r>
          <rPr>
            <sz val="9"/>
            <color indexed="81"/>
            <rFont val="Tahoma"/>
            <family val="2"/>
          </rPr>
          <t xml:space="preserve">
a P-value less than 0.05 is needed in order for your model to be statistically significant</t>
        </r>
      </text>
    </comment>
  </commentList>
</comments>
</file>

<file path=xl/sharedStrings.xml><?xml version="1.0" encoding="utf-8"?>
<sst xmlns="http://schemas.openxmlformats.org/spreadsheetml/2006/main" count="26" uniqueCount="26">
  <si>
    <t>x</t>
  </si>
  <si>
    <t>y</t>
  </si>
  <si>
    <t>yhat</t>
  </si>
  <si>
    <t>(y - yhat)²</t>
  </si>
  <si>
    <t>Constants</t>
  </si>
  <si>
    <t>Initial guesses,
final solver results.</t>
  </si>
  <si>
    <t>Const_a</t>
  </si>
  <si>
    <t>Sample equation:</t>
  </si>
  <si>
    <t>Const_b</t>
  </si>
  <si>
    <t>Const_c</t>
  </si>
  <si>
    <t>Const_d</t>
  </si>
  <si>
    <t>Const_e</t>
  </si>
  <si>
    <t>Const_f</t>
  </si>
  <si>
    <t>Const_g</t>
  </si>
  <si>
    <t>Const_h</t>
  </si>
  <si>
    <t>SS</t>
  </si>
  <si>
    <t>Source</t>
  </si>
  <si>
    <t>Degrees of Freedom</t>
  </si>
  <si>
    <t>Sum of squares</t>
  </si>
  <si>
    <t>Mean Square</t>
  </si>
  <si>
    <t xml:space="preserve">F       </t>
  </si>
  <si>
    <t>P value</t>
  </si>
  <si>
    <t>Model</t>
  </si>
  <si>
    <t>Error</t>
  </si>
  <si>
    <t>Total</t>
  </si>
  <si>
    <t>f(x) = a*log(1/(1+(b*10^x)^2))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</si>
</sst>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3" fillId="2" borderId="0" xfId="1" applyAlignment="1">
      <alignment wrapText="1"/>
    </xf>
    <xf numFmtId="0" fontId="3" fillId="2" borderId="0" xfId="1"/>
    <xf numFmtId="0" fontId="1" fillId="3" borderId="0" xfId="2"/>
  </cellXfs>
  <cellStyles count="3">
    <cellStyle name="20% - Accent1" xfId="2" builtinId="30"/>
    <cellStyle name="Accent1" xfId="1" builtinId="29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Non-linear least squares fit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</c:marker>
          <c:xVal>
            <c:numRef>
              <c:f>Sheet1!$A$2:$A$24</c:f>
              <c:numCache>
                <c:formatCode>General</c:formatCode>
                <c:ptCount val="23"/>
                <c:pt idx="0">
                  <c:v>-1.6989700043360187</c:v>
                </c:pt>
                <c:pt idx="1">
                  <c:v>-1.3010299956639813</c:v>
                </c:pt>
                <c:pt idx="2">
                  <c:v>-1</c:v>
                </c:pt>
                <c:pt idx="3">
                  <c:v>-0.69897000433601875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0.69897000433601886</c:v>
                </c:pt>
                <c:pt idx="8">
                  <c:v>1</c:v>
                </c:pt>
                <c:pt idx="9">
                  <c:v>1.3010299956639813</c:v>
                </c:pt>
              </c:numCache>
            </c:numRef>
          </c:xVal>
          <c:yVal>
            <c:numRef>
              <c:f>Sheet1!$B$2:$B$24</c:f>
              <c:numCache>
                <c:formatCode>General</c:formatCode>
                <c:ptCount val="23"/>
                <c:pt idx="0">
                  <c:v>-8.5182891324441776E-2</c:v>
                </c:pt>
                <c:pt idx="1">
                  <c:v>-0.13554188091278874</c:v>
                </c:pt>
                <c:pt idx="2">
                  <c:v>-0.16156730192595534</c:v>
                </c:pt>
                <c:pt idx="3">
                  <c:v>-0.26852211922494501</c:v>
                </c:pt>
                <c:pt idx="4">
                  <c:v>-1.0824310209602264</c:v>
                </c:pt>
                <c:pt idx="5">
                  <c:v>-4.0066348789243724</c:v>
                </c:pt>
                <c:pt idx="6">
                  <c:v>-7.8886117489196632</c:v>
                </c:pt>
                <c:pt idx="7">
                  <c:v>-13.688889209495855</c:v>
                </c:pt>
                <c:pt idx="8">
                  <c:v>-19.503408527560772</c:v>
                </c:pt>
                <c:pt idx="9">
                  <c:v>-25.04209227788385</c:v>
                </c:pt>
              </c:numCache>
            </c:numRef>
          </c:yVal>
          <c:smooth val="0"/>
        </c:ser>
        <c:ser>
          <c:idx val="1"/>
          <c:order val="1"/>
          <c:tx>
            <c:v>Fit</c:v>
          </c:tx>
          <c:spPr>
            <a:ln w="25400">
              <a:solidFill>
                <a:schemeClr val="accent2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Sheet1!$A$2:$A$24</c:f>
              <c:numCache>
                <c:formatCode>General</c:formatCode>
                <c:ptCount val="23"/>
                <c:pt idx="0">
                  <c:v>-1.6989700043360187</c:v>
                </c:pt>
                <c:pt idx="1">
                  <c:v>-1.3010299956639813</c:v>
                </c:pt>
                <c:pt idx="2">
                  <c:v>-1</c:v>
                </c:pt>
                <c:pt idx="3">
                  <c:v>-0.69897000433601875</c:v>
                </c:pt>
                <c:pt idx="4">
                  <c:v>-0.3010299956639812</c:v>
                </c:pt>
                <c:pt idx="5">
                  <c:v>0</c:v>
                </c:pt>
                <c:pt idx="6">
                  <c:v>0.3010299956639812</c:v>
                </c:pt>
                <c:pt idx="7">
                  <c:v>0.69897000433601886</c:v>
                </c:pt>
                <c:pt idx="8">
                  <c:v>1</c:v>
                </c:pt>
                <c:pt idx="9">
                  <c:v>1.3010299956639813</c:v>
                </c:pt>
              </c:numCache>
            </c:numRef>
          </c:xVal>
          <c:yVal>
            <c:numRef>
              <c:f>Sheet1!$C$2:$C$24</c:f>
              <c:numCache>
                <c:formatCode>General</c:formatCode>
                <c:ptCount val="23"/>
                <c:pt idx="0">
                  <c:v>-2.4530422614654707E-3</c:v>
                </c:pt>
                <c:pt idx="1">
                  <c:v>-1.5305872167100845E-2</c:v>
                </c:pt>
                <c:pt idx="2">
                  <c:v>-6.0860873789366131E-2</c:v>
                </c:pt>
                <c:pt idx="3">
                  <c:v>-0.2378624161121142</c:v>
                </c:pt>
                <c:pt idx="4">
                  <c:v>-1.2904017462401742</c:v>
                </c:pt>
                <c:pt idx="5">
                  <c:v>-3.6657587617012615</c:v>
                </c:pt>
                <c:pt idx="6">
                  <c:v>-7.6813338650259455</c:v>
                </c:pt>
                <c:pt idx="7">
                  <c:v>-14.25617703892703</c:v>
                </c:pt>
                <c:pt idx="8">
                  <c:v>-19.509442308285465</c:v>
                </c:pt>
                <c:pt idx="9">
                  <c:v>-24.815769981570554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6608"/>
        <c:axId val="213997184"/>
      </c:scatterChart>
      <c:valAx>
        <c:axId val="21399660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97184"/>
        <c:crosses val="autoZero"/>
        <c:crossBetween val="midCat"/>
      </c:valAx>
      <c:valAx>
        <c:axId val="2139971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96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24</xdr:col>
      <xdr:colOff>0</xdr:colOff>
      <xdr:row>26</xdr:row>
      <xdr:rowOff>0</xdr:rowOff>
    </xdr:to>
    <xdr:sp macro="" textlink="">
      <xdr:nvSpPr>
        <xdr:cNvPr id="4" name="Text Box 16"/>
        <xdr:cNvSpPr txBox="1">
          <a:spLocks noChangeArrowheads="1"/>
        </xdr:cNvSpPr>
      </xdr:nvSpPr>
      <xdr:spPr bwMode="auto">
        <a:xfrm>
          <a:off x="10106025" y="762000"/>
          <a:ext cx="4267200" cy="4762500"/>
        </a:xfrm>
        <a:prstGeom prst="rect">
          <a:avLst/>
        </a:prstGeom>
        <a:solidFill>
          <a:schemeClr val="tx2"/>
        </a:solidFill>
        <a:ln>
          <a:headEnd/>
          <a:tailE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27432" tIns="22860" rIns="0" bIns="0" anchor="t" upright="1"/>
        <a:lstStyle/>
        <a:p>
          <a:pPr rtl="0"/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Explanation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 column A and B enter your measurements.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 column C, enter your model equation. Use Const_a, Const_b, ... for the constants in the model.</a:t>
          </a:r>
          <a:endParaRPr lang="en-US">
            <a:effectLst/>
          </a:endParaRPr>
        </a:p>
        <a:p>
          <a:pPr rtl="0" eaLnBrk="1" fontAlgn="auto" latinLnBrk="0" hangingPunct="1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Make initial guesses for a,b,c, ... in column G, then minimize cell G11 using Solver. You may have to install the Solver add-in first (Tools, Add-ins or Options, Add-ins tab, Go button).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We'll fit the model by least squares, assuming we observe (x,y) pairs where y = f(x) + error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Note, since least squares minimizes the sum of squared vertical distances,</a:t>
          </a:r>
          <a:endParaRPr lang="en-US">
            <a:effectLst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tacit assumption is that measurement error in x is negligible.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measurement error in y (rather than x) is negligible, their roles should be reversed, assuming that f( ) can be inverted.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 general, we could minimize a diagonal distance, where the slope of the diagonal depends on the ratio of error variances for x and y.</a:t>
          </a:r>
          <a:endParaRPr lang="en-US">
            <a:effectLst/>
          </a:endParaRPr>
        </a:p>
        <a:p>
          <a:pPr rtl="0"/>
          <a:endParaRPr lang="en-US" sz="1100" b="0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Regards,</a:t>
          </a:r>
          <a:endParaRPr lang="en-US">
            <a:effectLst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Jan  Karel Pieterse, Jerry W. Lewis</a:t>
          </a:r>
          <a:endParaRPr lang="en-US">
            <a:effectLst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Excel MVP's</a:t>
          </a:r>
          <a:endParaRPr lang="en-US">
            <a:effectLst/>
          </a:endParaRPr>
        </a:p>
        <a:p>
          <a:pPr rtl="0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http://www.jkp-ads.com</a:t>
          </a:r>
          <a:endParaRPr lang="en-US">
            <a:effectLst/>
          </a:endParaRPr>
        </a:p>
        <a:p>
          <a:pPr algn="l" rtl="0">
            <a:defRPr sz="1000"/>
          </a:pPr>
          <a:endParaRPr lang="en-US"/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12</xdr:col>
      <xdr:colOff>485775</xdr:colOff>
      <xdr:row>31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1:D24" totalsRowShown="0" headerRowDxfId="3">
  <tableColumns count="4">
    <tableColumn id="1" name="x">
      <calculatedColumnFormula>A1+0.25</calculatedColumnFormula>
    </tableColumn>
    <tableColumn id="2" name="y"/>
    <tableColumn id="3" name="yhat" dataDxfId="2">
      <calculatedColumnFormula>EXP(Const_a*xValues)*SIN(xValues)+Const_b</calculatedColumnFormula>
    </tableColumn>
    <tableColumn id="4" name="(y - yhat)²">
      <calculatedColumnFormula>(B2-C2)^2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F1:G9" totalsRowShown="0">
  <autoFilter ref="F1:G9"/>
  <tableColumns count="2">
    <tableColumn id="1" name="Constants"/>
    <tableColumn id="2" name="Initial guesses,_x000a_final solver results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N10" sqref="N10"/>
    </sheetView>
  </sheetViews>
  <sheetFormatPr defaultRowHeight="15" x14ac:dyDescent="0.25"/>
  <cols>
    <col min="1" max="4" width="9.140625" customWidth="1"/>
    <col min="6" max="6" width="11.85546875" customWidth="1"/>
    <col min="7" max="7" width="12.7109375" customWidth="1"/>
    <col min="8" max="8" width="4.7109375" customWidth="1"/>
    <col min="17" max="17" width="3.42578125" customWidth="1"/>
    <col min="259" max="259" width="8.140625" customWidth="1"/>
    <col min="263" max="263" width="13.140625" bestFit="1" customWidth="1"/>
    <col min="264" max="264" width="10.28515625" bestFit="1" customWidth="1"/>
    <col min="515" max="515" width="8.140625" customWidth="1"/>
    <col min="519" max="519" width="13.140625" bestFit="1" customWidth="1"/>
    <col min="520" max="520" width="10.28515625" bestFit="1" customWidth="1"/>
    <col min="771" max="771" width="8.140625" customWidth="1"/>
    <col min="775" max="775" width="13.140625" bestFit="1" customWidth="1"/>
    <col min="776" max="776" width="10.28515625" bestFit="1" customWidth="1"/>
    <col min="1027" max="1027" width="8.140625" customWidth="1"/>
    <col min="1031" max="1031" width="13.140625" bestFit="1" customWidth="1"/>
    <col min="1032" max="1032" width="10.28515625" bestFit="1" customWidth="1"/>
    <col min="1283" max="1283" width="8.140625" customWidth="1"/>
    <col min="1287" max="1287" width="13.140625" bestFit="1" customWidth="1"/>
    <col min="1288" max="1288" width="10.28515625" bestFit="1" customWidth="1"/>
    <col min="1539" max="1539" width="8.140625" customWidth="1"/>
    <col min="1543" max="1543" width="13.140625" bestFit="1" customWidth="1"/>
    <col min="1544" max="1544" width="10.28515625" bestFit="1" customWidth="1"/>
    <col min="1795" max="1795" width="8.140625" customWidth="1"/>
    <col min="1799" max="1799" width="13.140625" bestFit="1" customWidth="1"/>
    <col min="1800" max="1800" width="10.28515625" bestFit="1" customWidth="1"/>
    <col min="2051" max="2051" width="8.140625" customWidth="1"/>
    <col min="2055" max="2055" width="13.140625" bestFit="1" customWidth="1"/>
    <col min="2056" max="2056" width="10.28515625" bestFit="1" customWidth="1"/>
    <col min="2307" max="2307" width="8.140625" customWidth="1"/>
    <col min="2311" max="2311" width="13.140625" bestFit="1" customWidth="1"/>
    <col min="2312" max="2312" width="10.28515625" bestFit="1" customWidth="1"/>
    <col min="2563" max="2563" width="8.140625" customWidth="1"/>
    <col min="2567" max="2567" width="13.140625" bestFit="1" customWidth="1"/>
    <col min="2568" max="2568" width="10.28515625" bestFit="1" customWidth="1"/>
    <col min="2819" max="2819" width="8.140625" customWidth="1"/>
    <col min="2823" max="2823" width="13.140625" bestFit="1" customWidth="1"/>
    <col min="2824" max="2824" width="10.28515625" bestFit="1" customWidth="1"/>
    <col min="3075" max="3075" width="8.140625" customWidth="1"/>
    <col min="3079" max="3079" width="13.140625" bestFit="1" customWidth="1"/>
    <col min="3080" max="3080" width="10.28515625" bestFit="1" customWidth="1"/>
    <col min="3331" max="3331" width="8.140625" customWidth="1"/>
    <col min="3335" max="3335" width="13.140625" bestFit="1" customWidth="1"/>
    <col min="3336" max="3336" width="10.28515625" bestFit="1" customWidth="1"/>
    <col min="3587" max="3587" width="8.140625" customWidth="1"/>
    <col min="3591" max="3591" width="13.140625" bestFit="1" customWidth="1"/>
    <col min="3592" max="3592" width="10.28515625" bestFit="1" customWidth="1"/>
    <col min="3843" max="3843" width="8.140625" customWidth="1"/>
    <col min="3847" max="3847" width="13.140625" bestFit="1" customWidth="1"/>
    <col min="3848" max="3848" width="10.28515625" bestFit="1" customWidth="1"/>
    <col min="4099" max="4099" width="8.140625" customWidth="1"/>
    <col min="4103" max="4103" width="13.140625" bestFit="1" customWidth="1"/>
    <col min="4104" max="4104" width="10.28515625" bestFit="1" customWidth="1"/>
    <col min="4355" max="4355" width="8.140625" customWidth="1"/>
    <col min="4359" max="4359" width="13.140625" bestFit="1" customWidth="1"/>
    <col min="4360" max="4360" width="10.28515625" bestFit="1" customWidth="1"/>
    <col min="4611" max="4611" width="8.140625" customWidth="1"/>
    <col min="4615" max="4615" width="13.140625" bestFit="1" customWidth="1"/>
    <col min="4616" max="4616" width="10.28515625" bestFit="1" customWidth="1"/>
    <col min="4867" max="4867" width="8.140625" customWidth="1"/>
    <col min="4871" max="4871" width="13.140625" bestFit="1" customWidth="1"/>
    <col min="4872" max="4872" width="10.28515625" bestFit="1" customWidth="1"/>
    <col min="5123" max="5123" width="8.140625" customWidth="1"/>
    <col min="5127" max="5127" width="13.140625" bestFit="1" customWidth="1"/>
    <col min="5128" max="5128" width="10.28515625" bestFit="1" customWidth="1"/>
    <col min="5379" max="5379" width="8.140625" customWidth="1"/>
    <col min="5383" max="5383" width="13.140625" bestFit="1" customWidth="1"/>
    <col min="5384" max="5384" width="10.28515625" bestFit="1" customWidth="1"/>
    <col min="5635" max="5635" width="8.140625" customWidth="1"/>
    <col min="5639" max="5639" width="13.140625" bestFit="1" customWidth="1"/>
    <col min="5640" max="5640" width="10.28515625" bestFit="1" customWidth="1"/>
    <col min="5891" max="5891" width="8.140625" customWidth="1"/>
    <col min="5895" max="5895" width="13.140625" bestFit="1" customWidth="1"/>
    <col min="5896" max="5896" width="10.28515625" bestFit="1" customWidth="1"/>
    <col min="6147" max="6147" width="8.140625" customWidth="1"/>
    <col min="6151" max="6151" width="13.140625" bestFit="1" customWidth="1"/>
    <col min="6152" max="6152" width="10.28515625" bestFit="1" customWidth="1"/>
    <col min="6403" max="6403" width="8.140625" customWidth="1"/>
    <col min="6407" max="6407" width="13.140625" bestFit="1" customWidth="1"/>
    <col min="6408" max="6408" width="10.28515625" bestFit="1" customWidth="1"/>
    <col min="6659" max="6659" width="8.140625" customWidth="1"/>
    <col min="6663" max="6663" width="13.140625" bestFit="1" customWidth="1"/>
    <col min="6664" max="6664" width="10.28515625" bestFit="1" customWidth="1"/>
    <col min="6915" max="6915" width="8.140625" customWidth="1"/>
    <col min="6919" max="6919" width="13.140625" bestFit="1" customWidth="1"/>
    <col min="6920" max="6920" width="10.28515625" bestFit="1" customWidth="1"/>
    <col min="7171" max="7171" width="8.140625" customWidth="1"/>
    <col min="7175" max="7175" width="13.140625" bestFit="1" customWidth="1"/>
    <col min="7176" max="7176" width="10.28515625" bestFit="1" customWidth="1"/>
    <col min="7427" max="7427" width="8.140625" customWidth="1"/>
    <col min="7431" max="7431" width="13.140625" bestFit="1" customWidth="1"/>
    <col min="7432" max="7432" width="10.28515625" bestFit="1" customWidth="1"/>
    <col min="7683" max="7683" width="8.140625" customWidth="1"/>
    <col min="7687" max="7687" width="13.140625" bestFit="1" customWidth="1"/>
    <col min="7688" max="7688" width="10.28515625" bestFit="1" customWidth="1"/>
    <col min="7939" max="7939" width="8.140625" customWidth="1"/>
    <col min="7943" max="7943" width="13.140625" bestFit="1" customWidth="1"/>
    <col min="7944" max="7944" width="10.28515625" bestFit="1" customWidth="1"/>
    <col min="8195" max="8195" width="8.140625" customWidth="1"/>
    <col min="8199" max="8199" width="13.140625" bestFit="1" customWidth="1"/>
    <col min="8200" max="8200" width="10.28515625" bestFit="1" customWidth="1"/>
    <col min="8451" max="8451" width="8.140625" customWidth="1"/>
    <col min="8455" max="8455" width="13.140625" bestFit="1" customWidth="1"/>
    <col min="8456" max="8456" width="10.28515625" bestFit="1" customWidth="1"/>
    <col min="8707" max="8707" width="8.140625" customWidth="1"/>
    <col min="8711" max="8711" width="13.140625" bestFit="1" customWidth="1"/>
    <col min="8712" max="8712" width="10.28515625" bestFit="1" customWidth="1"/>
    <col min="8963" max="8963" width="8.140625" customWidth="1"/>
    <col min="8967" max="8967" width="13.140625" bestFit="1" customWidth="1"/>
    <col min="8968" max="8968" width="10.28515625" bestFit="1" customWidth="1"/>
    <col min="9219" max="9219" width="8.140625" customWidth="1"/>
    <col min="9223" max="9223" width="13.140625" bestFit="1" customWidth="1"/>
    <col min="9224" max="9224" width="10.28515625" bestFit="1" customWidth="1"/>
    <col min="9475" max="9475" width="8.140625" customWidth="1"/>
    <col min="9479" max="9479" width="13.140625" bestFit="1" customWidth="1"/>
    <col min="9480" max="9480" width="10.28515625" bestFit="1" customWidth="1"/>
    <col min="9731" max="9731" width="8.140625" customWidth="1"/>
    <col min="9735" max="9735" width="13.140625" bestFit="1" customWidth="1"/>
    <col min="9736" max="9736" width="10.28515625" bestFit="1" customWidth="1"/>
    <col min="9987" max="9987" width="8.140625" customWidth="1"/>
    <col min="9991" max="9991" width="13.140625" bestFit="1" customWidth="1"/>
    <col min="9992" max="9992" width="10.28515625" bestFit="1" customWidth="1"/>
    <col min="10243" max="10243" width="8.140625" customWidth="1"/>
    <col min="10247" max="10247" width="13.140625" bestFit="1" customWidth="1"/>
    <col min="10248" max="10248" width="10.28515625" bestFit="1" customWidth="1"/>
    <col min="10499" max="10499" width="8.140625" customWidth="1"/>
    <col min="10503" max="10503" width="13.140625" bestFit="1" customWidth="1"/>
    <col min="10504" max="10504" width="10.28515625" bestFit="1" customWidth="1"/>
    <col min="10755" max="10755" width="8.140625" customWidth="1"/>
    <col min="10759" max="10759" width="13.140625" bestFit="1" customWidth="1"/>
    <col min="10760" max="10760" width="10.28515625" bestFit="1" customWidth="1"/>
    <col min="11011" max="11011" width="8.140625" customWidth="1"/>
    <col min="11015" max="11015" width="13.140625" bestFit="1" customWidth="1"/>
    <col min="11016" max="11016" width="10.28515625" bestFit="1" customWidth="1"/>
    <col min="11267" max="11267" width="8.140625" customWidth="1"/>
    <col min="11271" max="11271" width="13.140625" bestFit="1" customWidth="1"/>
    <col min="11272" max="11272" width="10.28515625" bestFit="1" customWidth="1"/>
    <col min="11523" max="11523" width="8.140625" customWidth="1"/>
    <col min="11527" max="11527" width="13.140625" bestFit="1" customWidth="1"/>
    <col min="11528" max="11528" width="10.28515625" bestFit="1" customWidth="1"/>
    <col min="11779" max="11779" width="8.140625" customWidth="1"/>
    <col min="11783" max="11783" width="13.140625" bestFit="1" customWidth="1"/>
    <col min="11784" max="11784" width="10.28515625" bestFit="1" customWidth="1"/>
    <col min="12035" max="12035" width="8.140625" customWidth="1"/>
    <col min="12039" max="12039" width="13.140625" bestFit="1" customWidth="1"/>
    <col min="12040" max="12040" width="10.28515625" bestFit="1" customWidth="1"/>
    <col min="12291" max="12291" width="8.140625" customWidth="1"/>
    <col min="12295" max="12295" width="13.140625" bestFit="1" customWidth="1"/>
    <col min="12296" max="12296" width="10.28515625" bestFit="1" customWidth="1"/>
    <col min="12547" max="12547" width="8.140625" customWidth="1"/>
    <col min="12551" max="12551" width="13.140625" bestFit="1" customWidth="1"/>
    <col min="12552" max="12552" width="10.28515625" bestFit="1" customWidth="1"/>
    <col min="12803" max="12803" width="8.140625" customWidth="1"/>
    <col min="12807" max="12807" width="13.140625" bestFit="1" customWidth="1"/>
    <col min="12808" max="12808" width="10.28515625" bestFit="1" customWidth="1"/>
    <col min="13059" max="13059" width="8.140625" customWidth="1"/>
    <col min="13063" max="13063" width="13.140625" bestFit="1" customWidth="1"/>
    <col min="13064" max="13064" width="10.28515625" bestFit="1" customWidth="1"/>
    <col min="13315" max="13315" width="8.140625" customWidth="1"/>
    <col min="13319" max="13319" width="13.140625" bestFit="1" customWidth="1"/>
    <col min="13320" max="13320" width="10.28515625" bestFit="1" customWidth="1"/>
    <col min="13571" max="13571" width="8.140625" customWidth="1"/>
    <col min="13575" max="13575" width="13.140625" bestFit="1" customWidth="1"/>
    <col min="13576" max="13576" width="10.28515625" bestFit="1" customWidth="1"/>
    <col min="13827" max="13827" width="8.140625" customWidth="1"/>
    <col min="13831" max="13831" width="13.140625" bestFit="1" customWidth="1"/>
    <col min="13832" max="13832" width="10.28515625" bestFit="1" customWidth="1"/>
    <col min="14083" max="14083" width="8.140625" customWidth="1"/>
    <col min="14087" max="14087" width="13.140625" bestFit="1" customWidth="1"/>
    <col min="14088" max="14088" width="10.28515625" bestFit="1" customWidth="1"/>
    <col min="14339" max="14339" width="8.140625" customWidth="1"/>
    <col min="14343" max="14343" width="13.140625" bestFit="1" customWidth="1"/>
    <col min="14344" max="14344" width="10.28515625" bestFit="1" customWidth="1"/>
    <col min="14595" max="14595" width="8.140625" customWidth="1"/>
    <col min="14599" max="14599" width="13.140625" bestFit="1" customWidth="1"/>
    <col min="14600" max="14600" width="10.28515625" bestFit="1" customWidth="1"/>
    <col min="14851" max="14851" width="8.140625" customWidth="1"/>
    <col min="14855" max="14855" width="13.140625" bestFit="1" customWidth="1"/>
    <col min="14856" max="14856" width="10.28515625" bestFit="1" customWidth="1"/>
    <col min="15107" max="15107" width="8.140625" customWidth="1"/>
    <col min="15111" max="15111" width="13.140625" bestFit="1" customWidth="1"/>
    <col min="15112" max="15112" width="10.28515625" bestFit="1" customWidth="1"/>
    <col min="15363" max="15363" width="8.140625" customWidth="1"/>
    <col min="15367" max="15367" width="13.140625" bestFit="1" customWidth="1"/>
    <col min="15368" max="15368" width="10.28515625" bestFit="1" customWidth="1"/>
    <col min="15619" max="15619" width="8.140625" customWidth="1"/>
    <col min="15623" max="15623" width="13.140625" bestFit="1" customWidth="1"/>
    <col min="15624" max="15624" width="10.28515625" bestFit="1" customWidth="1"/>
    <col min="15875" max="15875" width="8.140625" customWidth="1"/>
    <col min="15879" max="15879" width="13.140625" bestFit="1" customWidth="1"/>
    <col min="15880" max="15880" width="10.28515625" bestFit="1" customWidth="1"/>
    <col min="16131" max="16131" width="8.140625" customWidth="1"/>
    <col min="16135" max="16135" width="13.140625" bestFit="1" customWidth="1"/>
    <col min="16136" max="16136" width="10.28515625" bestFit="1" customWidth="1"/>
  </cols>
  <sheetData>
    <row r="1" spans="1:11" ht="60" x14ac:dyDescent="0.25">
      <c r="A1" s="2" t="s">
        <v>0</v>
      </c>
      <c r="B1" s="2" t="s">
        <v>1</v>
      </c>
      <c r="C1" s="2" t="s">
        <v>2</v>
      </c>
      <c r="D1" s="2" t="s">
        <v>3</v>
      </c>
      <c r="E1" s="2"/>
      <c r="F1" s="2" t="s">
        <v>4</v>
      </c>
      <c r="G1" s="3" t="s">
        <v>5</v>
      </c>
      <c r="I1" s="2" t="s">
        <v>7</v>
      </c>
      <c r="J1" s="2"/>
      <c r="K1" s="2" t="s">
        <v>25</v>
      </c>
    </row>
    <row r="2" spans="1:11" x14ac:dyDescent="0.25">
      <c r="A2">
        <v>-1.6989700043360187</v>
      </c>
      <c r="B2">
        <v>-8.5182891324441776E-2</v>
      </c>
      <c r="C2">
        <f t="shared" ref="C2:C11" ca="1" si="0">Const_a*LOG(1/(1+(Const_b*10^xValues)^2))</f>
        <v>-2.4530422614654707E-3</v>
      </c>
      <c r="D2">
        <f ca="1">(B2-C2)^2</f>
        <v>6.8442279259828404E-3</v>
      </c>
      <c r="F2" t="s">
        <v>6</v>
      </c>
      <c r="G2">
        <v>8.8434564929683042</v>
      </c>
    </row>
    <row r="3" spans="1:11" x14ac:dyDescent="0.25">
      <c r="A3">
        <v>-1.3010299956639813</v>
      </c>
      <c r="B3">
        <v>-0.13554188091278874</v>
      </c>
      <c r="C3">
        <f t="shared" ca="1" si="0"/>
        <v>-1.5305872167100845E-2</v>
      </c>
      <c r="D3">
        <f t="shared" ref="D3:D9" ca="1" si="1">(B3-C3)^2</f>
        <v>1.4456697799093135E-2</v>
      </c>
      <c r="F3" t="s">
        <v>8</v>
      </c>
      <c r="G3">
        <v>1.2638300927570192</v>
      </c>
    </row>
    <row r="4" spans="1:11" x14ac:dyDescent="0.25">
      <c r="A4">
        <v>-1</v>
      </c>
      <c r="B4">
        <v>-0.16156730192595534</v>
      </c>
      <c r="C4">
        <f t="shared" ca="1" si="0"/>
        <v>-6.0860873789366131E-2</v>
      </c>
      <c r="D4">
        <f t="shared" ca="1" si="1"/>
        <v>1.0141784668030005E-2</v>
      </c>
      <c r="F4" t="s">
        <v>9</v>
      </c>
    </row>
    <row r="5" spans="1:11" x14ac:dyDescent="0.25">
      <c r="A5">
        <v>-0.69897000433601875</v>
      </c>
      <c r="B5">
        <v>-0.26852211922494501</v>
      </c>
      <c r="C5">
        <f t="shared" ca="1" si="0"/>
        <v>-0.2378624161121142</v>
      </c>
      <c r="D5">
        <f t="shared" ca="1" si="1"/>
        <v>9.4001739496692735E-4</v>
      </c>
      <c r="F5" t="s">
        <v>10</v>
      </c>
    </row>
    <row r="6" spans="1:11" x14ac:dyDescent="0.25">
      <c r="A6">
        <v>-0.3010299956639812</v>
      </c>
      <c r="B6">
        <v>-1.0824310209602264</v>
      </c>
      <c r="C6">
        <f t="shared" ca="1" si="0"/>
        <v>-1.2904017462401742</v>
      </c>
      <c r="D6">
        <f t="shared" ca="1" si="1"/>
        <v>4.3251822573467547E-2</v>
      </c>
      <c r="F6" t="s">
        <v>11</v>
      </c>
    </row>
    <row r="7" spans="1:11" x14ac:dyDescent="0.25">
      <c r="A7">
        <v>0</v>
      </c>
      <c r="B7">
        <v>-4.0066348789243724</v>
      </c>
      <c r="C7">
        <f t="shared" ca="1" si="0"/>
        <v>-3.6657587617012615</v>
      </c>
      <c r="D7">
        <f t="shared" ca="1" si="1"/>
        <v>0.11619652729310408</v>
      </c>
      <c r="F7" t="s">
        <v>12</v>
      </c>
    </row>
    <row r="8" spans="1:11" x14ac:dyDescent="0.25">
      <c r="A8">
        <v>0.3010299956639812</v>
      </c>
      <c r="B8">
        <v>-7.8886117489196632</v>
      </c>
      <c r="C8">
        <f t="shared" ca="1" si="0"/>
        <v>-7.6813338650259455</v>
      </c>
      <c r="D8">
        <f t="shared" ca="1" si="1"/>
        <v>4.2964121151457521E-2</v>
      </c>
      <c r="F8" t="s">
        <v>13</v>
      </c>
    </row>
    <row r="9" spans="1:11" x14ac:dyDescent="0.25">
      <c r="A9">
        <v>0.69897000433601886</v>
      </c>
      <c r="B9">
        <v>-13.688889209495855</v>
      </c>
      <c r="C9">
        <f t="shared" ca="1" si="0"/>
        <v>-14.25617703892703</v>
      </c>
      <c r="D9">
        <f t="shared" ca="1" si="1"/>
        <v>0.32181548142073357</v>
      </c>
      <c r="F9" t="s">
        <v>14</v>
      </c>
    </row>
    <row r="10" spans="1:11" x14ac:dyDescent="0.25">
      <c r="A10">
        <v>1</v>
      </c>
      <c r="B10">
        <v>-19.503408527560772</v>
      </c>
      <c r="C10">
        <f t="shared" ca="1" si="0"/>
        <v>-19.509442308285465</v>
      </c>
      <c r="D10">
        <f t="shared" ref="D10:D11" ca="1" si="2">(B10-C10)^2</f>
        <v>3.6406509833669616E-5</v>
      </c>
    </row>
    <row r="11" spans="1:11" x14ac:dyDescent="0.25">
      <c r="A11">
        <v>1.3010299956639813</v>
      </c>
      <c r="B11">
        <v>-25.04209227788385</v>
      </c>
      <c r="C11">
        <f t="shared" ca="1" si="0"/>
        <v>-24.815769981570554</v>
      </c>
      <c r="D11">
        <f t="shared" ca="1" si="2"/>
        <v>5.1221781808523069E-2</v>
      </c>
      <c r="F11" t="s">
        <v>15</v>
      </c>
      <c r="G11">
        <f ca="1">SUM(yDelta)</f>
        <v>0.6078688685451924</v>
      </c>
    </row>
    <row r="13" spans="1:11" x14ac:dyDescent="0.25">
      <c r="G13" s="1"/>
    </row>
  </sheetData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"/>
  <sheetViews>
    <sheetView showGridLines="0" workbookViewId="0">
      <selection activeCell="A7" sqref="A7"/>
    </sheetView>
  </sheetViews>
  <sheetFormatPr defaultRowHeight="15" x14ac:dyDescent="0.25"/>
  <cols>
    <col min="1" max="1" width="7" bestFit="1" customWidth="1"/>
    <col min="2" max="2" width="10.5703125" bestFit="1" customWidth="1"/>
    <col min="3" max="3" width="14.5703125" bestFit="1" customWidth="1"/>
    <col min="4" max="4" width="12.5703125" bestFit="1" customWidth="1"/>
    <col min="5" max="5" width="11" bestFit="1" customWidth="1"/>
    <col min="6" max="6" width="12" bestFit="1" customWidth="1"/>
  </cols>
  <sheetData>
    <row r="1" spans="1:6" s="4" customFormat="1" ht="30" x14ac:dyDescent="0.25">
      <c r="A1" s="5" t="s">
        <v>16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</row>
    <row r="2" spans="1:6" x14ac:dyDescent="0.25">
      <c r="A2" s="7" t="s">
        <v>22</v>
      </c>
      <c r="B2" s="7">
        <f>COUNT(Constants)-1</f>
        <v>1</v>
      </c>
      <c r="C2" s="7">
        <f t="array" aca="1" ref="C2" ca="1">SUM((yhat-AVERAGE(yValues))^2)</f>
        <v>762.12556863568454</v>
      </c>
      <c r="D2" s="7">
        <f ca="1">C2/B2</f>
        <v>762.12556863568454</v>
      </c>
      <c r="E2" s="7">
        <f ca="1">D2/D3</f>
        <v>-1487.393983371539</v>
      </c>
      <c r="F2" s="7" t="e">
        <f ca="1">FDIST(E2,B2,B3)</f>
        <v>#NUM!</v>
      </c>
    </row>
    <row r="3" spans="1:6" x14ac:dyDescent="0.25">
      <c r="A3" s="7" t="s">
        <v>23</v>
      </c>
      <c r="B3" s="7">
        <f ca="1">COUNT(yValues)-1-B2</f>
        <v>8</v>
      </c>
      <c r="C3" s="7">
        <f ca="1">C4-C2</f>
        <v>-4.0991187387118089</v>
      </c>
      <c r="D3" s="7">
        <f ca="1">C3/B3</f>
        <v>-0.51238984233897611</v>
      </c>
      <c r="E3" s="7"/>
      <c r="F3" s="7"/>
    </row>
    <row r="4" spans="1:6" x14ac:dyDescent="0.25">
      <c r="A4" s="6" t="s">
        <v>24</v>
      </c>
      <c r="B4" s="6">
        <f ca="1">COUNT(yValues)-1</f>
        <v>9</v>
      </c>
      <c r="C4" s="6">
        <f t="array" aca="1" ref="C4" ca="1">SUM((yValues-AVERAGE(yValues))^2)</f>
        <v>758.02644989697274</v>
      </c>
      <c r="D4" s="6"/>
      <c r="E4" s="6"/>
      <c r="F4" s="6"/>
    </row>
  </sheetData>
  <conditionalFormatting sqref="F2">
    <cfRule type="cellIs" dxfId="1" priority="1" operator="lessThan">
      <formula>0.05</formula>
    </cfRule>
    <cfRule type="cellIs" dxfId="0" priority="2" operator="greaterThan">
      <formula>0.05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Sheet1</vt:lpstr>
      <vt:lpstr>ANOVA</vt:lpstr>
      <vt:lpstr>Const_a</vt:lpstr>
      <vt:lpstr>Const_b</vt:lpstr>
      <vt:lpstr>Const_c</vt:lpstr>
      <vt:lpstr>Const_d</vt:lpstr>
      <vt:lpstr>Const_e</vt:lpstr>
      <vt:lpstr>Const_f</vt:lpstr>
      <vt:lpstr>Const_g</vt:lpstr>
      <vt:lpstr>Const_h</vt:lpstr>
      <vt:lpstr>Constants</vt:lpstr>
    </vt:vector>
  </TitlesOfParts>
  <Company>JKP-ADS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Karel Pieterse</dc:creator>
  <cp:lastModifiedBy>Ralph Chamberlin</cp:lastModifiedBy>
  <dcterms:created xsi:type="dcterms:W3CDTF">2012-04-11T06:13:33Z</dcterms:created>
  <dcterms:modified xsi:type="dcterms:W3CDTF">2015-09-08T02:15:25Z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C:\Users\Administrator\Documents\XL Utils\Nonlinear LS 002.xlsm</vt:lpwstr>
  </property>
</Properties>
</file>